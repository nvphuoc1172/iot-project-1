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Luồng căn bản" sheetId="1" state="visible" r:id="rId3"/>
    <sheet name="9 chức năng nâng cao" sheetId="2" state="visible" r:id="rId4"/>
    <sheet name="BOM và giá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<sst xmlns="http://schemas.openxmlformats.org/spreadsheetml/2006/main" count="198" uniqueCount="165">
  <si>
    <t xml:space="preserve">PHÂN CHIA 3 LUỒNG CHỨC NĂNG CĂN BẢN</t>
  </si>
  <si>
    <t xml:space="preserve">Mỗi người phụ trách và giải thích trọn luồng. Phân công hiện là đề xuất, chưa được nhóm xác nhận.</t>
  </si>
  <si>
    <t xml:space="preserve">ID</t>
  </si>
  <si>
    <t xml:space="preserve">Người</t>
  </si>
  <si>
    <t xml:space="preserve">Thiết bị chấm điểm</t>
  </si>
  <si>
    <t xml:space="preserve">Luồng dữ liệu đầy đủ</t>
  </si>
  <si>
    <t xml:space="preserve">Cách demo / bằng chứng</t>
  </si>
  <si>
    <t xml:space="preserve">Lưu ý không trùng thiết bị</t>
  </si>
  <si>
    <t xml:space="preserve">CB-A</t>
  </si>
  <si>
    <t xml:space="preserve">A</t>
  </si>
  <si>
    <t xml:space="preserve">MQ-2 (input)</t>
  </si>
  <si>
    <t xml:space="preserve">MQ-2 → ESP32 → MQTT → Node-RED backend → dashboard frontend</t>
  </si>
  <si>
    <t xml:space="preserve">Thay đổi tín hiệu thử an toàn; web hiển thị giá trị tương đối và trạng thái cảnh báo</t>
  </si>
  <si>
    <t xml:space="preserve">MQ-2 chỉ khai báo cho CB-A; không khai lại làm NC-2</t>
  </si>
  <si>
    <t xml:space="preserve">CB-B</t>
  </si>
  <si>
    <t xml:space="preserve">B</t>
  </si>
  <si>
    <t xml:space="preserve">Bơm DC 5 V (output)</t>
  </si>
  <si>
    <t xml:space="preserve">Dashboard frontend → Node-RED backend → MQTT → ESP32 → relay/driver → bơm</t>
  </si>
  <si>
    <t xml:space="preserve">Bấm ON/OFF trên web; bơm chạy/dừng thật; ESP32 phản hồi trạng thái và tự dừng theo timeout</t>
  </si>
  <si>
    <t xml:space="preserve">Bơm chỉ khai báo cho CB-B; relay là mạch điều khiển</t>
  </si>
  <si>
    <t xml:space="preserve">CB-C</t>
  </si>
  <si>
    <t xml:space="preserve">C</t>
  </si>
  <si>
    <t xml:space="preserve">DHT11 (input)</t>
  </si>
  <si>
    <t xml:space="preserve">DHT11 → ESP32 → MQTT → Node-RED backend → dashboard frontend</t>
  </si>
  <si>
    <t xml:space="preserve">Nhiệt độ và độ ẩm đo được hiển thị trên web, kèm thời gian cập nhật</t>
  </si>
  <si>
    <t xml:space="preserve">DHT11 chỉ khai báo cho CB-C</t>
  </si>
  <si>
    <t xml:space="preserve">QUY TẮC CHUNG</t>
  </si>
  <si>
    <t xml:space="preserve">01</t>
  </si>
  <si>
    <t xml:space="preserve">Thiết bị</t>
  </si>
  <si>
    <t xml:space="preserve">MQ-2, bơm và DHT11 là ba thiết bị căn bản riêng.</t>
  </si>
  <si>
    <t xml:space="preserve">02</t>
  </si>
  <si>
    <t xml:space="preserve">Tích hợp</t>
  </si>
  <si>
    <t xml:space="preserve">Còi, LED và bơm tự chạy khi báo động là hành vi tích hợp; không tính thêm luồng dùng lại thiết bị.</t>
  </si>
  <si>
    <t xml:space="preserve">03</t>
  </si>
  <si>
    <t xml:space="preserve">An toàn</t>
  </si>
  <si>
    <t xml:space="preserve">Bơm mặc định OFF, có timeout; tách nước khỏi điện. Đây là mô hình học tập.</t>
  </si>
  <si>
    <t xml:space="preserve">ĐỀ XUẤT 9 CHỨC NĂNG NÂNG CAO — MÔ HÌNH BÁO CHÁY</t>
  </si>
  <si>
    <t xml:space="preserve">Theo quy định đồ án; phân công và dịch vụ là đề xuất, chưa được giảng viên duyệt.</t>
  </si>
  <si>
    <t xml:space="preserve">ID rubric</t>
  </si>
  <si>
    <t xml:space="preserve">Chức năng / mức chọn</t>
  </si>
  <si>
    <t xml:space="preserve">Luồng demo cần chứng minh</t>
  </si>
  <si>
    <t xml:space="preserve">Thiết bị / dịch vụ dự kiến</t>
  </si>
  <si>
    <t xml:space="preserve">Điểm danh nghĩa</t>
  </si>
  <si>
    <t xml:space="preserve">Lưu ý</t>
  </si>
  <si>
    <t xml:space="preserve">#1</t>
  </si>
  <si>
    <t xml:space="preserve">Nút khẩn → ESP32 → buzzer</t>
  </si>
  <si>
    <t xml:space="preserve">Nhấn nút → ESP32 kích còi độc lập mạng</t>
  </si>
  <si>
    <t xml:space="preserve">Nút riêng + buzzer riêng</t>
  </si>
  <si>
    <t xml:space="preserve">Buzzer không khai báo lại ở luồng khác</t>
  </si>
  <si>
    <t xml:space="preserve">#4</t>
  </si>
  <si>
    <t xml:space="preserve">Lưu lịch sử cảm biến lên cloud</t>
  </si>
  <si>
    <t xml:space="preserve">MQTT → Node-RED → cloud; ghi timestamp</t>
  </si>
  <si>
    <t xml:space="preserve">Supabase (đề xuất)</t>
  </si>
  <si>
    <t xml:space="preserve">Phải là cloud thật, không lưu local</t>
  </si>
  <si>
    <t xml:space="preserve">#5</t>
  </si>
  <si>
    <t xml:space="preserve">Đọc lịch sử cloud → chart</t>
  </si>
  <si>
    <t xml:space="preserve">Node-RED query cloud → chart web</t>
  </si>
  <si>
    <t xml:space="preserve">Supabase + Node-RED Dashboard</t>
  </si>
  <si>
    <t xml:space="preserve">Không lấy MQTT trực tiếp vào chart để tính #5</t>
  </si>
  <si>
    <t xml:space="preserve">#3</t>
  </si>
  <si>
    <t xml:space="preserve">Web điều khiển LED riêng</t>
  </si>
  <si>
    <t xml:space="preserve">Web FE → backend → MQTT → ESP32 → LED</t>
  </si>
  <si>
    <t xml:space="preserve">LED riêng + điện trở</t>
  </si>
  <si>
    <t xml:space="preserve">LED chấm điểm tách khỏi bơm và buzzer</t>
  </si>
  <si>
    <t xml:space="preserve">#6</t>
  </si>
  <si>
    <t xml:space="preserve">Thông báo nhanh trên điện thoại</t>
  </si>
  <si>
    <t xml:space="preserve">Alarm → Node-RED → push đến điện thoại</t>
  </si>
  <si>
    <t xml:space="preserve">ntfy/Telegram (cần thầy duyệt)</t>
  </si>
  <si>
    <t xml:space="preserve">Phải hiện thông báo trên điện thoại</t>
  </si>
  <si>
    <t xml:space="preserve">#9</t>
  </si>
  <si>
    <t xml:space="preserve">Đăng ký và đăng nhập bằng database</t>
  </si>
  <si>
    <t xml:space="preserve">Tạo tài khoản → DB; đăng nhập → kiểm tra → dashboard</t>
  </si>
  <si>
    <t xml:space="preserve">Database cloud; lựa chọn chưa chốt</t>
  </si>
  <si>
    <t xml:space="preserve">Bảo vệ truy cập thật; hash mật khẩu</t>
  </si>
  <si>
    <t xml:space="preserve">#2</t>
  </si>
  <si>
    <t xml:space="preserve">Cảm biến lửa IR → web frontend</t>
  </si>
  <si>
    <t xml:space="preserve">IR → ESP32 → MQTT → backend → dashboard</t>
  </si>
  <si>
    <t xml:space="preserve">Cảm biến lửa IR riêng</t>
  </si>
  <si>
    <t xml:space="preserve">Không dùng lại MQ-2/DHT11</t>
  </si>
  <si>
    <t xml:space="preserve">#7</t>
  </si>
  <si>
    <t xml:space="preserve">Email cảnh báo</t>
  </si>
  <si>
    <t xml:space="preserve">Alarm → Node-RED → email người dùng</t>
  </si>
  <si>
    <t xml:space="preserve">SMTP/email, khác dịch vụ #6</t>
  </si>
  <si>
    <t xml:space="preserve">Chứng minh email gửi và nhận</t>
  </si>
  <si>
    <t xml:space="preserve">#8</t>
  </si>
  <si>
    <t xml:space="preserve">Chatbot truy vấn theo lệnh điều kiện</t>
  </si>
  <si>
    <t xml:space="preserve">Lệnh trạng thái/nhiệt độ → trả lời dữ liệu hệ thống</t>
  </si>
  <si>
    <t xml:space="preserve">Node-RED logic điều kiện</t>
  </si>
  <si>
    <t xml:space="preserve">Không nhận là AI/DS #11</t>
  </si>
  <si>
    <t xml:space="preserve">BẢNG GIÁ THAM KHẢO LINH KIỆN — 28/10/2026</t>
  </si>
  <si>
    <t xml:space="preserve">Giá web có thể đổi; giá dự phòng là ước tính, chưa có link bán hàng. Chưa tính phí giao hàng và phí dịch vụ vượt free tier.</t>
  </si>
  <si>
    <t xml:space="preserve">STT</t>
  </si>
  <si>
    <t xml:space="preserve">Linh kiện / hạng mục</t>
  </si>
  <si>
    <t xml:space="preserve">SL</t>
  </si>
  <si>
    <t xml:space="preserve">Đơn giá (VND)</t>
  </si>
  <si>
    <t xml:space="preserve">Thành tiền (VND)</t>
  </si>
  <si>
    <t xml:space="preserve">ID chức năng</t>
  </si>
  <si>
    <t xml:space="preserve">Có sẵn / Thay thế?</t>
  </si>
  <si>
    <t xml:space="preserve">Nguồn giá / link</t>
  </si>
  <si>
    <t xml:space="preserve">Loại giá</t>
  </si>
  <si>
    <t xml:space="preserve">Ghi chú kỹ thuật</t>
  </si>
  <si>
    <t xml:space="preserve">ESP32 NodeMCU LuaNode32 30 chân</t>
  </si>
  <si>
    <t xml:space="preserve">CB-A/B/C, NC1-3</t>
  </si>
  <si>
    <t xml:space="preserve">Thay thế bằng ESP32-WROOM-32 38 chân, có sẵn</t>
  </si>
  <si>
    <t xml:space="preserve">https://www.thegioiic.com/esp32-nodemcu-luanode32-module-thu-phat-wifi-30-chan</t>
  </si>
  <si>
    <t xml:space="preserve">Giá web</t>
  </si>
  <si>
    <t xml:space="preserve">1 board dùng chung</t>
  </si>
  <si>
    <t xml:space="preserve">Cảm biến MQ-2</t>
  </si>
  <si>
    <t xml:space="preserve">Có sẵn 2 cái</t>
  </si>
  <si>
    <t xml:space="preserve">https://www.thegioiic.com/mq-2-mach-cam-bien-khi-gas-lpg-propane-hydrogen</t>
  </si>
  <si>
    <t xml:space="preserve">AO có thể đến 4 V; cần chia áp cho ADC ESP32</t>
  </si>
  <si>
    <t xml:space="preserve">DHT11 cảm biến rời</t>
  </si>
  <si>
    <t xml:space="preserve">Có sẵn 3 cái</t>
  </si>
  <si>
    <t xml:space="preserve">https://www.thegioiic.com/dht11-cam-bien-nhiet-do-do-am</t>
  </si>
  <si>
    <t xml:space="preserve">Cần điện trở pull-up phù hợp</t>
  </si>
  <si>
    <t xml:space="preserve">MKE-S04 cảm biến lửa IR</t>
  </si>
  <si>
    <t xml:space="preserve">NC-2</t>
  </si>
  <si>
    <t xml:space="preserve">https://hshop.vn/cam-bien-lua-hong-ngoai-mke-s04-ir-flame-sensor</t>
  </si>
  <si>
    <t xml:space="preserve">Ngõ ra analog 0–3.3 V</t>
  </si>
  <si>
    <t xml:space="preserve">Bơm chìm mini 5 V</t>
  </si>
  <si>
    <t xml:space="preserve">https://www.thegioiic.com/san-pham/bom-nuoc-bom-khi?category_id=1299&amp;rohs=0</t>
  </si>
  <si>
    <t xml:space="preserve">Giá web danh mục</t>
  </si>
  <si>
    <t xml:space="preserve">Kiểm tra dòng khởi động, dùng khay nước riêng</t>
  </si>
  <si>
    <t xml:space="preserve">Module relay 1 kênh 5 V</t>
  </si>
  <si>
    <t xml:space="preserve">https://www.thegioiic.com/module-1-relay-5v-kich-muc-cao-co-opto-cach-ly</t>
  </si>
  <si>
    <t xml:space="preserve">Kiểm tra tương thích tín hiệu GPIO 3.3 V</t>
  </si>
  <si>
    <t xml:space="preserve">Adapter 5 V 2 A</t>
  </si>
  <si>
    <t xml:space="preserve">Nguồn</t>
  </si>
  <si>
    <t xml:space="preserve">Thay thế bằng sạc 5V/2A hoặc USB Tester</t>
  </si>
  <si>
    <t xml:space="preserve">https://www.thegioiic.com/nguon-adapter-5v-2a-dau-dc-2-5x0-7mm-dai-1m</t>
  </si>
  <si>
    <t xml:space="preserve">Dùng loại có opto cách ly</t>
  </si>
  <si>
    <t xml:space="preserve">Nút nhấn đỏ 12×12 mm</t>
  </si>
  <si>
    <t xml:space="preserve">NC-1</t>
  </si>
  <si>
    <t xml:space="preserve">Có sẵn 16 cái</t>
  </si>
  <si>
    <t xml:space="preserve">https://www.thegioiic.com/nut-nhan-12x12mm-cao-12mm-4-chan-chong-nuoc</t>
  </si>
  <si>
    <t xml:space="preserve">Lắp nổi hoặc chọn nút panel sau</t>
  </si>
  <si>
    <t xml:space="preserve">Buzzer 5 V</t>
  </si>
  <si>
    <t xml:space="preserve">Ước tính</t>
  </si>
  <si>
    <t xml:space="preserve">Chưa có báo giá/link; cần chọn loại phù hợp</t>
  </si>
  <si>
    <t xml:space="preserve">LED đỏ 5 mm</t>
  </si>
  <si>
    <t xml:space="preserve">NC-3, cảnh báo phụ</t>
  </si>
  <si>
    <t xml:space="preserve">Có LED trắng / xanh thay thế</t>
  </si>
  <si>
    <t xml:space="preserve">https://www.thegioiic.com/</t>
  </si>
  <si>
    <t xml:space="preserve">Chỉ 1 LED riêng khai báo cho NC-3</t>
  </si>
  <si>
    <t xml:space="preserve">Điện trở LED, pull-up, chia áp</t>
  </si>
  <si>
    <t xml:space="preserve">CB-A/C, NC-3</t>
  </si>
  <si>
    <t xml:space="preserve">Có sẵn 300 cái :V </t>
  </si>
  <si>
    <t xml:space="preserve">Chọn trị số sau khi chốt sơ đồ</t>
  </si>
  <si>
    <t xml:space="preserve">Ống nước mềm 5 mm</t>
  </si>
  <si>
    <t xml:space="preserve">Xác minh đường kính vừa đầu bơm</t>
  </si>
  <si>
    <t xml:space="preserve">Hộp / mô hình</t>
  </si>
  <si>
    <t xml:space="preserve">Toàn hệ thống</t>
  </si>
  <si>
    <t xml:space="preserve">Cần hình 3D trong thuyết minh</t>
  </si>
  <si>
    <t xml:space="preserve">Dây, jack, domino, bảng hàn</t>
  </si>
  <si>
    <t xml:space="preserve">Có sẵn, khỏi mua :V</t>
  </si>
  <si>
    <t xml:space="preserve">Nên cố định mạch, không demo trên breadboard hở</t>
  </si>
  <si>
    <t xml:space="preserve">Khay / bình nước riêng</t>
  </si>
  <si>
    <t xml:space="preserve">Tách nước khỏi phần điện</t>
  </si>
  <si>
    <t xml:space="preserve">Dự phòng mua linh kiện</t>
  </si>
  <si>
    <t xml:space="preserve">Dự phòng</t>
  </si>
  <si>
    <t xml:space="preserve">Giữ để xử lý sai khác giá/vận chuyển</t>
  </si>
  <si>
    <t xml:space="preserve">TỔNG DỰ KIẾN</t>
  </si>
  <si>
    <t xml:space="preserve">CÓ SẴN</t>
  </si>
  <si>
    <t xml:space="preserve">TRẦN NGÂN SÁCH</t>
  </si>
  <si>
    <t xml:space="preserve">CẦN MUA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</si>
</sst>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đ&quot;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83153"/>
        <bgColor rgb="FF333333"/>
      </patternFill>
    </fill>
    <fill>
      <patternFill patternType="solid">
        <fgColor rgb="FFD9EAF7"/>
        <bgColor rgb="FFD7E2EA"/>
      </patternFill>
    </fill>
    <fill>
      <patternFill patternType="solid">
        <fgColor rgb="FFE2F0D9"/>
        <bgColor rgb="FFD9EAF7"/>
      </patternFill>
    </fill>
    <fill>
      <patternFill patternType="solid">
        <fgColor rgb="FFEE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E2EA"/>
      </left>
      <right style="thin">
        <color rgb="FFD7E2EA"/>
      </right>
      <top style="thin">
        <color rgb="FFD7E2EA"/>
      </top>
      <bottom style="thin">
        <color rgb="FFD7E2E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4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5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2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4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5FA"/>
      <rgbColor rgb="FFD9EAF7"/>
      <rgbColor rgb="FF660066"/>
      <rgbColor rgb="FFFF8080"/>
      <rgbColor rgb="FF0066CC"/>
      <rgbColor rgb="FFD7E2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8315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hshop.vn/cam-bien-lua-hong-ngoai-mke-s04-ir-flame-senso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3" min="3" style="1" width="27"/>
    <col collapsed="false" customWidth="true" hidden="false" outlineLevel="0" max="4" min="4" style="1" width="67"/>
    <col collapsed="false" customWidth="true" hidden="false" outlineLevel="0" max="5" min="5" style="1" width="70"/>
    <col collapsed="false" customWidth="true" hidden="false" outlineLevel="0" max="6" min="6" style="1" width="51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8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4" hidden="false" customHeight="false" outlineLevel="0" collapsed="false">
      <c r="A3" s="3"/>
      <c r="B3" s="3"/>
      <c r="C3" s="3"/>
      <c r="D3" s="3"/>
      <c r="E3" s="3"/>
      <c r="F3" s="3"/>
    </row>
    <row r="4" customFormat="false" ht="32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62" hidden="false" customHeight="true" outlineLevel="0" collapsed="false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</row>
    <row r="6" customFormat="false" ht="62" hidden="false" customHeight="true" outlineLevel="0" collapsed="false">
      <c r="A6" s="5" t="s">
        <v>14</v>
      </c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</row>
    <row r="7" customFormat="false" ht="62" hidden="false" customHeight="true" outlineLevel="0" collapsed="false">
      <c r="A7" s="5" t="s">
        <v>20</v>
      </c>
      <c r="B7" s="5" t="s">
        <v>21</v>
      </c>
      <c r="C7" s="5" t="s">
        <v>22</v>
      </c>
      <c r="D7" s="5" t="s">
        <v>23</v>
      </c>
      <c r="E7" s="5" t="s">
        <v>24</v>
      </c>
      <c r="F7" s="5" t="s">
        <v>25</v>
      </c>
    </row>
    <row r="8" customFormat="false" ht="14" hidden="false" customHeight="false" outlineLevel="0" collapsed="false">
      <c r="A8" s="6"/>
      <c r="B8" s="6"/>
      <c r="C8" s="6"/>
      <c r="D8" s="6"/>
      <c r="E8" s="6"/>
      <c r="F8" s="6"/>
    </row>
    <row r="9" customFormat="false" ht="26" hidden="false" customHeight="true" outlineLevel="0" collapsed="false">
      <c r="A9" s="7" t="s">
        <v>26</v>
      </c>
      <c r="B9" s="7"/>
      <c r="C9" s="7"/>
      <c r="D9" s="7"/>
      <c r="E9" s="7"/>
      <c r="F9" s="7"/>
    </row>
    <row r="10" customFormat="false" ht="56" hidden="false" customHeight="true" outlineLevel="0" collapsed="false">
      <c r="A10" s="8" t="s">
        <v>27</v>
      </c>
      <c r="B10" s="8" t="s">
        <v>28</v>
      </c>
      <c r="C10" s="5" t="s">
        <v>29</v>
      </c>
      <c r="D10" s="5"/>
      <c r="E10" s="5"/>
      <c r="F10" s="5"/>
    </row>
    <row r="11" customFormat="false" ht="56" hidden="false" customHeight="true" outlineLevel="0" collapsed="false">
      <c r="A11" s="8" t="s">
        <v>30</v>
      </c>
      <c r="B11" s="8" t="s">
        <v>31</v>
      </c>
      <c r="C11" s="5" t="s">
        <v>32</v>
      </c>
      <c r="D11" s="5"/>
      <c r="E11" s="5"/>
      <c r="F11" s="5"/>
    </row>
    <row r="12" customFormat="false" ht="56" hidden="false" customHeight="true" outlineLevel="0" collapsed="false">
      <c r="A12" s="8" t="s">
        <v>33</v>
      </c>
      <c r="B12" s="8" t="s">
        <v>34</v>
      </c>
      <c r="C12" s="5" t="s">
        <v>35</v>
      </c>
      <c r="D12" s="5"/>
      <c r="E12" s="5"/>
      <c r="F12" s="5"/>
    </row>
  </sheetData>
  <mergeCells count="4">
    <mergeCell ref="A9:F9"/>
    <mergeCell ref="C10:F10"/>
    <mergeCell ref="C11:F11"/>
    <mergeCell ref="C12:F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0"/>
    <col collapsed="false" customWidth="true" hidden="false" outlineLevel="0" max="3" min="3" style="1" width="37"/>
    <col collapsed="false" customWidth="true" hidden="false" outlineLevel="0" max="4" min="4" style="1" width="49"/>
    <col collapsed="false" customWidth="true" hidden="false" outlineLevel="0" max="5" min="5" style="1" width="38"/>
    <col collapsed="false" customWidth="true" hidden="false" outlineLevel="0" max="6" min="6" style="1" width="16"/>
    <col collapsed="false" customWidth="true" hidden="false" outlineLevel="0" max="7" min="7" style="1" width="48"/>
  </cols>
  <sheetData>
    <row r="1" customFormat="false" ht="14" hidden="false" customHeight="false" outlineLevel="0" collapsed="false">
      <c r="A1" s="9" t="s">
        <v>36</v>
      </c>
      <c r="B1" s="9"/>
      <c r="C1" s="9"/>
      <c r="D1" s="9"/>
      <c r="E1" s="9"/>
      <c r="F1" s="9"/>
      <c r="G1" s="9"/>
      <c r="H1" s="9"/>
      <c r="I1" s="9"/>
    </row>
    <row r="2" customFormat="false" ht="14" hidden="false" customHeight="false" outlineLevel="0" collapsed="false">
      <c r="A2" s="1" t="s">
        <v>37</v>
      </c>
    </row>
    <row r="4" customFormat="false" ht="14" hidden="false" customHeight="false" outlineLevel="0" collapsed="false">
      <c r="A4" s="10" t="s">
        <v>38</v>
      </c>
      <c r="B4" s="10" t="s">
        <v>3</v>
      </c>
      <c r="C4" s="10" t="s">
        <v>39</v>
      </c>
      <c r="D4" s="10" t="s">
        <v>40</v>
      </c>
      <c r="E4" s="10" t="s">
        <v>41</v>
      </c>
      <c r="F4" s="10" t="s">
        <v>42</v>
      </c>
      <c r="G4" s="10" t="s">
        <v>43</v>
      </c>
      <c r="H4" s="10"/>
      <c r="I4" s="10"/>
    </row>
    <row r="5" customFormat="false" ht="14" hidden="false" customHeight="false" outlineLevel="0" collapsed="false">
      <c r="A5" s="11" t="s">
        <v>44</v>
      </c>
      <c r="B5" s="11" t="s">
        <v>9</v>
      </c>
      <c r="C5" s="11" t="s">
        <v>45</v>
      </c>
      <c r="D5" s="11" t="s">
        <v>46</v>
      </c>
      <c r="E5" s="11" t="s">
        <v>47</v>
      </c>
      <c r="F5" s="11" t="n">
        <v>1.5</v>
      </c>
      <c r="G5" s="11" t="s">
        <v>48</v>
      </c>
    </row>
    <row r="6" customFormat="false" ht="14" hidden="false" customHeight="false" outlineLevel="0" collapsed="false">
      <c r="A6" s="11" t="s">
        <v>49</v>
      </c>
      <c r="B6" s="11" t="s">
        <v>9</v>
      </c>
      <c r="C6" s="11" t="s">
        <v>50</v>
      </c>
      <c r="D6" s="11" t="s">
        <v>51</v>
      </c>
      <c r="E6" s="11" t="s">
        <v>52</v>
      </c>
      <c r="F6" s="11" t="n">
        <v>1.5</v>
      </c>
      <c r="G6" s="11" t="s">
        <v>53</v>
      </c>
    </row>
    <row r="7" customFormat="false" ht="14" hidden="false" customHeight="false" outlineLevel="0" collapsed="false">
      <c r="A7" s="11" t="s">
        <v>54</v>
      </c>
      <c r="B7" s="11" t="s">
        <v>9</v>
      </c>
      <c r="C7" s="11" t="s">
        <v>55</v>
      </c>
      <c r="D7" s="11" t="s">
        <v>56</v>
      </c>
      <c r="E7" s="11" t="s">
        <v>57</v>
      </c>
      <c r="F7" s="11" t="n">
        <v>1.5</v>
      </c>
      <c r="G7" s="11" t="s">
        <v>58</v>
      </c>
    </row>
    <row r="8" customFormat="false" ht="14" hidden="false" customHeight="false" outlineLevel="0" collapsed="false">
      <c r="A8" s="11" t="s">
        <v>59</v>
      </c>
      <c r="B8" s="11" t="s">
        <v>15</v>
      </c>
      <c r="C8" s="11" t="s">
        <v>60</v>
      </c>
      <c r="D8" s="11" t="s">
        <v>61</v>
      </c>
      <c r="E8" s="11" t="s">
        <v>62</v>
      </c>
      <c r="F8" s="11" t="n">
        <v>1.5</v>
      </c>
      <c r="G8" s="11" t="s">
        <v>63</v>
      </c>
    </row>
    <row r="9" customFormat="false" ht="14" hidden="false" customHeight="false" outlineLevel="0" collapsed="false">
      <c r="A9" s="11" t="s">
        <v>64</v>
      </c>
      <c r="B9" s="11" t="s">
        <v>15</v>
      </c>
      <c r="C9" s="11" t="s">
        <v>65</v>
      </c>
      <c r="D9" s="11" t="s">
        <v>66</v>
      </c>
      <c r="E9" s="11" t="s">
        <v>67</v>
      </c>
      <c r="F9" s="11" t="n">
        <v>1</v>
      </c>
      <c r="G9" s="11" t="s">
        <v>68</v>
      </c>
    </row>
    <row r="10" customFormat="false" ht="14" hidden="false" customHeight="false" outlineLevel="0" collapsed="false">
      <c r="A10" s="11" t="s">
        <v>69</v>
      </c>
      <c r="B10" s="11" t="s">
        <v>15</v>
      </c>
      <c r="C10" s="11" t="s">
        <v>70</v>
      </c>
      <c r="D10" s="11" t="s">
        <v>71</v>
      </c>
      <c r="E10" s="11" t="s">
        <v>72</v>
      </c>
      <c r="F10" s="11" t="n">
        <v>1.5</v>
      </c>
      <c r="G10" s="11" t="s">
        <v>73</v>
      </c>
    </row>
    <row r="11" customFormat="false" ht="14" hidden="false" customHeight="false" outlineLevel="0" collapsed="false">
      <c r="A11" s="11" t="s">
        <v>74</v>
      </c>
      <c r="B11" s="11" t="s">
        <v>21</v>
      </c>
      <c r="C11" s="11" t="s">
        <v>75</v>
      </c>
      <c r="D11" s="11" t="s">
        <v>76</v>
      </c>
      <c r="E11" s="11" t="s">
        <v>77</v>
      </c>
      <c r="F11" s="11" t="n">
        <v>1.5</v>
      </c>
      <c r="G11" s="11" t="s">
        <v>78</v>
      </c>
    </row>
    <row r="12" customFormat="false" ht="14" hidden="false" customHeight="false" outlineLevel="0" collapsed="false">
      <c r="A12" s="11" t="s">
        <v>79</v>
      </c>
      <c r="B12" s="11" t="s">
        <v>21</v>
      </c>
      <c r="C12" s="11" t="s">
        <v>80</v>
      </c>
      <c r="D12" s="11" t="s">
        <v>81</v>
      </c>
      <c r="E12" s="11" t="s">
        <v>82</v>
      </c>
      <c r="F12" s="11" t="n">
        <v>1</v>
      </c>
      <c r="G12" s="11" t="s">
        <v>83</v>
      </c>
    </row>
    <row r="13" customFormat="false" ht="14" hidden="false" customHeight="false" outlineLevel="0" collapsed="false">
      <c r="A13" s="11" t="s">
        <v>84</v>
      </c>
      <c r="B13" s="11" t="s">
        <v>21</v>
      </c>
      <c r="C13" s="11" t="s">
        <v>85</v>
      </c>
      <c r="D13" s="11" t="s">
        <v>86</v>
      </c>
      <c r="E13" s="11" t="s">
        <v>87</v>
      </c>
      <c r="F13" s="11" t="n">
        <v>0.5</v>
      </c>
      <c r="G13" s="11" t="s">
        <v>88</v>
      </c>
    </row>
    <row r="14" customFormat="false" ht="14" hidden="false" customHeight="false" outlineLevel="0" collapsed="false">
      <c r="A14" s="11"/>
      <c r="B14" s="11"/>
      <c r="C14" s="11"/>
      <c r="D14" s="11"/>
      <c r="E14" s="11"/>
      <c r="F14" s="11"/>
      <c r="G14" s="11"/>
    </row>
    <row r="15" customFormat="false" ht="14" hidden="false" customHeight="false" outlineLevel="0" collapsed="false">
      <c r="A15" s="11"/>
      <c r="B15" s="11"/>
      <c r="C15" s="11"/>
      <c r="D15" s="11"/>
      <c r="E15" s="11"/>
      <c r="F15" s="11"/>
      <c r="G15" s="11"/>
    </row>
    <row r="16" customFormat="false" ht="14" hidden="false" customHeight="false" outlineLevel="0" collapsed="false">
      <c r="A16" s="11"/>
      <c r="B16" s="11"/>
      <c r="C16" s="11"/>
      <c r="D16" s="11"/>
      <c r="E16" s="11"/>
      <c r="F16" s="11"/>
      <c r="G16" s="11"/>
    </row>
    <row r="17" customFormat="false" ht="14" hidden="false" customHeight="false" outlineLevel="0" collapsed="false">
      <c r="A17" s="11"/>
      <c r="B17" s="11"/>
      <c r="C17" s="11"/>
      <c r="D17" s="11"/>
      <c r="E17" s="11"/>
      <c r="F17" s="11"/>
      <c r="G17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10" activeCellId="0" sqref="D10"/>
    </sheetView>
  </sheetViews>
  <sheetFormatPr defaultColWidth="8.6796875" defaultRowHeight="14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9"/>
    <col collapsed="false" customWidth="true" hidden="false" outlineLevel="0" max="3" min="3" style="1" width="8"/>
    <col collapsed="false" customWidth="true" hidden="false" outlineLevel="0" max="5" min="4" style="1" width="18"/>
    <col collapsed="false" customWidth="true" hidden="false" outlineLevel="0" max="6" min="6" style="1" width="27"/>
    <col collapsed="false" customWidth="true" hidden="false" outlineLevel="0" max="7" min="7" style="1" width="24.49"/>
    <col collapsed="false" customWidth="true" hidden="false" outlineLevel="0" max="8" min="8" style="1" width="76"/>
    <col collapsed="false" customWidth="true" hidden="false" outlineLevel="0" max="9" min="9" style="1" width="20"/>
    <col collapsed="false" customWidth="true" hidden="false" outlineLevel="0" max="10" min="10" style="1" width="47"/>
  </cols>
  <sheetData>
    <row r="1" customFormat="false" ht="14" hidden="false" customHeight="false" outlineLevel="0" collapsed="false">
      <c r="A1" s="9" t="s">
        <v>89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14" hidden="false" customHeight="false" outlineLevel="0" collapsed="false">
      <c r="A2" s="1" t="s">
        <v>90</v>
      </c>
    </row>
    <row r="4" customFormat="false" ht="14" hidden="false" customHeight="false" outlineLevel="0" collapsed="false">
      <c r="A4" s="10" t="s">
        <v>91</v>
      </c>
      <c r="B4" s="10" t="s">
        <v>92</v>
      </c>
      <c r="C4" s="10" t="s">
        <v>93</v>
      </c>
      <c r="D4" s="10" t="s">
        <v>94</v>
      </c>
      <c r="E4" s="10" t="s">
        <v>95</v>
      </c>
      <c r="F4" s="10" t="s">
        <v>96</v>
      </c>
      <c r="G4" s="10" t="s">
        <v>97</v>
      </c>
      <c r="H4" s="10" t="s">
        <v>98</v>
      </c>
      <c r="I4" s="10" t="s">
        <v>99</v>
      </c>
      <c r="J4" s="10" t="s">
        <v>100</v>
      </c>
    </row>
    <row r="5" customFormat="false" ht="23.85" hidden="false" customHeight="false" outlineLevel="0" collapsed="false">
      <c r="A5" s="11" t="n">
        <v>1</v>
      </c>
      <c r="B5" s="11" t="s">
        <v>101</v>
      </c>
      <c r="C5" s="11" t="n">
        <v>1</v>
      </c>
      <c r="D5" s="12" t="n">
        <v>131100</v>
      </c>
      <c r="E5" s="12" t="n">
        <f aca="false">C5*D5</f>
        <v>131100</v>
      </c>
      <c r="F5" s="11" t="s">
        <v>102</v>
      </c>
      <c r="G5" s="11" t="s">
        <v>103</v>
      </c>
      <c r="H5" s="11" t="s">
        <v>104</v>
      </c>
      <c r="I5" s="11" t="s">
        <v>105</v>
      </c>
      <c r="J5" s="11" t="s">
        <v>106</v>
      </c>
    </row>
    <row r="6" customFormat="false" ht="14" hidden="false" customHeight="false" outlineLevel="0" collapsed="false">
      <c r="A6" s="11" t="n">
        <v>2</v>
      </c>
      <c r="B6" s="11" t="s">
        <v>107</v>
      </c>
      <c r="C6" s="11" t="n">
        <v>1</v>
      </c>
      <c r="D6" s="12" t="n">
        <v>31920</v>
      </c>
      <c r="E6" s="12" t="n">
        <f aca="false">C6*D6</f>
        <v>31920</v>
      </c>
      <c r="F6" s="11" t="s">
        <v>8</v>
      </c>
      <c r="G6" s="11" t="s">
        <v>108</v>
      </c>
      <c r="H6" s="11" t="s">
        <v>109</v>
      </c>
      <c r="I6" s="11" t="s">
        <v>105</v>
      </c>
      <c r="J6" s="11" t="s">
        <v>110</v>
      </c>
    </row>
    <row r="7" customFormat="false" ht="14" hidden="false" customHeight="false" outlineLevel="0" collapsed="false">
      <c r="A7" s="11" t="n">
        <v>3</v>
      </c>
      <c r="B7" s="11" t="s">
        <v>111</v>
      </c>
      <c r="C7" s="11" t="n">
        <v>1</v>
      </c>
      <c r="D7" s="12" t="n">
        <v>28500</v>
      </c>
      <c r="E7" s="12" t="n">
        <f aca="false">C7*D7</f>
        <v>28500</v>
      </c>
      <c r="F7" s="11" t="s">
        <v>20</v>
      </c>
      <c r="G7" s="11" t="s">
        <v>112</v>
      </c>
      <c r="H7" s="11" t="s">
        <v>113</v>
      </c>
      <c r="I7" s="11" t="s">
        <v>105</v>
      </c>
      <c r="J7" s="11" t="s">
        <v>114</v>
      </c>
    </row>
    <row r="8" customFormat="false" ht="14" hidden="false" customHeight="false" outlineLevel="0" collapsed="false">
      <c r="A8" s="11" t="n">
        <v>4</v>
      </c>
      <c r="B8" s="11" t="s">
        <v>115</v>
      </c>
      <c r="C8" s="11" t="n">
        <v>1</v>
      </c>
      <c r="D8" s="12" t="n">
        <v>30000</v>
      </c>
      <c r="E8" s="12" t="n">
        <f aca="false">C8*D8</f>
        <v>30000</v>
      </c>
      <c r="F8" s="11" t="s">
        <v>116</v>
      </c>
      <c r="G8" s="11"/>
      <c r="H8" s="13" t="s">
        <v>117</v>
      </c>
      <c r="I8" s="11" t="s">
        <v>105</v>
      </c>
      <c r="J8" s="11" t="s">
        <v>118</v>
      </c>
    </row>
    <row r="9" customFormat="false" ht="14" hidden="false" customHeight="false" outlineLevel="0" collapsed="false">
      <c r="A9" s="11" t="n">
        <v>5</v>
      </c>
      <c r="B9" s="11" t="s">
        <v>119</v>
      </c>
      <c r="C9" s="11" t="n">
        <v>1</v>
      </c>
      <c r="D9" s="12" t="n">
        <v>17100</v>
      </c>
      <c r="E9" s="12" t="n">
        <f aca="false">C9*D9</f>
        <v>17100</v>
      </c>
      <c r="F9" s="11" t="s">
        <v>14</v>
      </c>
      <c r="G9" s="11"/>
      <c r="H9" s="11" t="s">
        <v>120</v>
      </c>
      <c r="I9" s="11" t="s">
        <v>121</v>
      </c>
      <c r="J9" s="11" t="s">
        <v>122</v>
      </c>
    </row>
    <row r="10" customFormat="false" ht="14" hidden="false" customHeight="false" outlineLevel="0" collapsed="false">
      <c r="A10" s="11" t="n">
        <v>6</v>
      </c>
      <c r="B10" s="11" t="s">
        <v>123</v>
      </c>
      <c r="C10" s="11" t="n">
        <v>1</v>
      </c>
      <c r="D10" s="12" t="n">
        <v>20490</v>
      </c>
      <c r="E10" s="12" t="n">
        <f aca="false">C10*D10</f>
        <v>20490</v>
      </c>
      <c r="F10" s="11" t="s">
        <v>14</v>
      </c>
      <c r="G10" s="11"/>
      <c r="H10" s="11" t="s">
        <v>124</v>
      </c>
      <c r="I10" s="11" t="s">
        <v>121</v>
      </c>
      <c r="J10" s="11" t="s">
        <v>125</v>
      </c>
    </row>
    <row r="11" customFormat="false" ht="23.85" hidden="false" customHeight="false" outlineLevel="0" collapsed="false">
      <c r="A11" s="11" t="n">
        <v>7</v>
      </c>
      <c r="B11" s="11" t="s">
        <v>126</v>
      </c>
      <c r="C11" s="11" t="n">
        <v>1</v>
      </c>
      <c r="D11" s="12" t="n">
        <v>31920</v>
      </c>
      <c r="E11" s="12" t="n">
        <f aca="false">C11*D11</f>
        <v>31920</v>
      </c>
      <c r="F11" s="11" t="s">
        <v>127</v>
      </c>
      <c r="G11" s="11" t="s">
        <v>128</v>
      </c>
      <c r="H11" s="11" t="s">
        <v>129</v>
      </c>
      <c r="I11" s="11" t="s">
        <v>105</v>
      </c>
      <c r="J11" s="11" t="s">
        <v>130</v>
      </c>
    </row>
    <row r="12" customFormat="false" ht="14" hidden="false" customHeight="false" outlineLevel="0" collapsed="false">
      <c r="A12" s="11" t="n">
        <v>8</v>
      </c>
      <c r="B12" s="11" t="s">
        <v>131</v>
      </c>
      <c r="C12" s="11" t="n">
        <v>1</v>
      </c>
      <c r="D12" s="12" t="n">
        <v>2052</v>
      </c>
      <c r="E12" s="12" t="n">
        <f aca="false">C12*D12</f>
        <v>2052</v>
      </c>
      <c r="F12" s="11" t="s">
        <v>132</v>
      </c>
      <c r="G12" s="11" t="s">
        <v>133</v>
      </c>
      <c r="H12" s="11" t="s">
        <v>134</v>
      </c>
      <c r="I12" s="11" t="s">
        <v>105</v>
      </c>
      <c r="J12" s="11" t="s">
        <v>135</v>
      </c>
    </row>
    <row r="13" customFormat="false" ht="14" hidden="false" customHeight="false" outlineLevel="0" collapsed="false">
      <c r="A13" s="11" t="n">
        <v>9</v>
      </c>
      <c r="B13" s="11" t="s">
        <v>136</v>
      </c>
      <c r="C13" s="11" t="n">
        <v>1</v>
      </c>
      <c r="D13" s="12" t="n">
        <v>10000</v>
      </c>
      <c r="E13" s="12" t="n">
        <f aca="false">C13*D13</f>
        <v>10000</v>
      </c>
      <c r="F13" s="11" t="s">
        <v>132</v>
      </c>
      <c r="G13" s="11" t="s">
        <v>112</v>
      </c>
      <c r="H13" s="11"/>
      <c r="I13" s="11" t="s">
        <v>137</v>
      </c>
      <c r="J13" s="11" t="s">
        <v>138</v>
      </c>
    </row>
    <row r="14" customFormat="false" ht="23.85" hidden="false" customHeight="false" outlineLevel="0" collapsed="false">
      <c r="A14" s="11" t="n">
        <v>10</v>
      </c>
      <c r="B14" s="11" t="s">
        <v>139</v>
      </c>
      <c r="C14" s="11" t="n">
        <v>2</v>
      </c>
      <c r="D14" s="12" t="n">
        <v>285</v>
      </c>
      <c r="E14" s="12" t="n">
        <f aca="false">C14*D14</f>
        <v>570</v>
      </c>
      <c r="F14" s="11" t="s">
        <v>140</v>
      </c>
      <c r="G14" s="11" t="s">
        <v>141</v>
      </c>
      <c r="H14" s="11" t="s">
        <v>142</v>
      </c>
      <c r="I14" s="11" t="s">
        <v>121</v>
      </c>
      <c r="J14" s="11" t="s">
        <v>143</v>
      </c>
    </row>
    <row r="15" customFormat="false" ht="14" hidden="false" customHeight="false" outlineLevel="0" collapsed="false">
      <c r="A15" s="11" t="n">
        <v>11</v>
      </c>
      <c r="B15" s="11" t="s">
        <v>144</v>
      </c>
      <c r="C15" s="11" t="n">
        <v>1</v>
      </c>
      <c r="D15" s="12" t="n">
        <v>10000</v>
      </c>
      <c r="E15" s="12" t="n">
        <f aca="false">C15*D15</f>
        <v>10000</v>
      </c>
      <c r="F15" s="11" t="s">
        <v>145</v>
      </c>
      <c r="G15" s="11" t="s">
        <v>146</v>
      </c>
      <c r="H15" s="11"/>
      <c r="I15" s="11" t="s">
        <v>137</v>
      </c>
      <c r="J15" s="11" t="s">
        <v>147</v>
      </c>
    </row>
    <row r="16" customFormat="false" ht="14" hidden="false" customHeight="false" outlineLevel="0" collapsed="false">
      <c r="A16" s="11" t="n">
        <v>12</v>
      </c>
      <c r="B16" s="11" t="s">
        <v>148</v>
      </c>
      <c r="C16" s="11" t="n">
        <v>2</v>
      </c>
      <c r="D16" s="12" t="n">
        <v>7410</v>
      </c>
      <c r="E16" s="12" t="n">
        <f aca="false">C16*D16</f>
        <v>14820</v>
      </c>
      <c r="F16" s="11" t="s">
        <v>14</v>
      </c>
      <c r="G16" s="11"/>
      <c r="H16" s="11" t="s">
        <v>120</v>
      </c>
      <c r="I16" s="11" t="s">
        <v>121</v>
      </c>
      <c r="J16" s="11" t="s">
        <v>149</v>
      </c>
    </row>
    <row r="17" customFormat="false" ht="14" hidden="false" customHeight="false" outlineLevel="0" collapsed="false">
      <c r="A17" s="11" t="n">
        <v>13</v>
      </c>
      <c r="B17" s="11" t="s">
        <v>150</v>
      </c>
      <c r="C17" s="11" t="n">
        <v>1</v>
      </c>
      <c r="D17" s="12" t="n">
        <v>120000</v>
      </c>
      <c r="E17" s="12" t="n">
        <f aca="false">C17*D17</f>
        <v>120000</v>
      </c>
      <c r="F17" s="11" t="s">
        <v>151</v>
      </c>
      <c r="G17" s="11"/>
      <c r="H17" s="11"/>
      <c r="I17" s="11" t="s">
        <v>137</v>
      </c>
      <c r="J17" s="11" t="s">
        <v>152</v>
      </c>
    </row>
    <row r="18" customFormat="false" ht="14" hidden="false" customHeight="false" outlineLevel="0" collapsed="false">
      <c r="A18" s="11" t="n">
        <v>14</v>
      </c>
      <c r="B18" s="11" t="s">
        <v>153</v>
      </c>
      <c r="C18" s="11" t="n">
        <v>1</v>
      </c>
      <c r="D18" s="12" t="n">
        <v>80000</v>
      </c>
      <c r="E18" s="12" t="n">
        <f aca="false">C18*D18</f>
        <v>80000</v>
      </c>
      <c r="F18" s="11" t="s">
        <v>151</v>
      </c>
      <c r="G18" s="11" t="s">
        <v>154</v>
      </c>
      <c r="H18" s="11"/>
      <c r="I18" s="11" t="s">
        <v>137</v>
      </c>
      <c r="J18" s="11" t="s">
        <v>155</v>
      </c>
    </row>
    <row r="19" customFormat="false" ht="14" hidden="false" customHeight="false" outlineLevel="0" collapsed="false">
      <c r="A19" s="11" t="n">
        <v>15</v>
      </c>
      <c r="B19" s="11" t="s">
        <v>156</v>
      </c>
      <c r="C19" s="11" t="n">
        <v>1</v>
      </c>
      <c r="D19" s="12" t="n">
        <v>30000</v>
      </c>
      <c r="E19" s="12" t="n">
        <f aca="false">C19*D19</f>
        <v>30000</v>
      </c>
      <c r="F19" s="11" t="s">
        <v>14</v>
      </c>
      <c r="G19" s="11"/>
      <c r="H19" s="11"/>
      <c r="I19" s="11" t="s">
        <v>137</v>
      </c>
      <c r="J19" s="11" t="s">
        <v>157</v>
      </c>
    </row>
    <row r="20" customFormat="false" ht="14" hidden="false" customHeight="false" outlineLevel="0" collapsed="false">
      <c r="A20" s="11" t="n">
        <v>16</v>
      </c>
      <c r="B20" s="11" t="s">
        <v>158</v>
      </c>
      <c r="C20" s="11" t="n">
        <v>1</v>
      </c>
      <c r="D20" s="12" t="n">
        <v>100000</v>
      </c>
      <c r="E20" s="12" t="n">
        <f aca="false">C20*D20</f>
        <v>100000</v>
      </c>
      <c r="F20" s="11" t="s">
        <v>151</v>
      </c>
      <c r="G20" s="11"/>
      <c r="H20" s="11"/>
      <c r="I20" s="11" t="s">
        <v>159</v>
      </c>
      <c r="J20" s="11" t="s">
        <v>160</v>
      </c>
    </row>
    <row r="21" customFormat="false" ht="14" hidden="false" customHeight="false" outlineLevel="0" collapsed="false">
      <c r="A21" s="11"/>
      <c r="B21" s="11"/>
      <c r="C21" s="11"/>
      <c r="D21" s="12"/>
      <c r="E21" s="12"/>
      <c r="F21" s="11"/>
      <c r="G21" s="11"/>
      <c r="H21" s="11"/>
      <c r="I21" s="11"/>
      <c r="J21" s="11"/>
    </row>
    <row r="22" customFormat="false" ht="14" hidden="false" customHeight="false" outlineLevel="0" collapsed="false">
      <c r="A22" s="11"/>
      <c r="B22" s="11"/>
      <c r="C22" s="11"/>
      <c r="D22" s="14" t="s">
        <v>161</v>
      </c>
      <c r="E22" s="14" t="n">
        <f aca="false">SUM(E5:E20)</f>
        <v>658472</v>
      </c>
      <c r="F22" s="11"/>
      <c r="G22" s="11"/>
      <c r="H22" s="11"/>
      <c r="I22" s="11"/>
      <c r="J22" s="11"/>
    </row>
    <row r="23" customFormat="false" ht="14" hidden="false" customHeight="false" outlineLevel="0" collapsed="false">
      <c r="A23" s="11"/>
      <c r="B23" s="11"/>
      <c r="C23" s="11"/>
      <c r="D23" s="14" t="s">
        <v>162</v>
      </c>
      <c r="E23" s="14" t="n">
        <f aca="false">SUMIF(G5:G20, "&lt;&gt;", E5:E20)</f>
        <v>326062</v>
      </c>
      <c r="F23" s="11"/>
      <c r="G23" s="11"/>
      <c r="H23" s="11"/>
      <c r="I23" s="11"/>
      <c r="J23" s="11"/>
    </row>
    <row r="24" customFormat="false" ht="14" hidden="false" customHeight="false" outlineLevel="0" collapsed="false">
      <c r="A24" s="11"/>
      <c r="B24" s="11"/>
      <c r="C24" s="11"/>
      <c r="D24" s="14" t="s">
        <v>163</v>
      </c>
      <c r="E24" s="14" t="n">
        <v>1000000</v>
      </c>
      <c r="F24" s="11"/>
      <c r="G24" s="11"/>
      <c r="H24" s="11"/>
      <c r="I24" s="11"/>
      <c r="J24" s="11"/>
    </row>
    <row r="25" customFormat="false" ht="14" hidden="false" customHeight="false" outlineLevel="0" collapsed="false">
      <c r="A25" s="11"/>
      <c r="B25" s="11"/>
      <c r="C25" s="11"/>
      <c r="D25" s="14" t="s">
        <v>164</v>
      </c>
      <c r="E25" s="14" t="n">
        <f aca="false">E22-E23</f>
        <v>332410</v>
      </c>
      <c r="F25" s="11"/>
      <c r="G25" s="11"/>
      <c r="H25" s="11"/>
      <c r="I25" s="11"/>
      <c r="J25" s="11"/>
    </row>
  </sheetData>
  <hyperlinks>
    <hyperlink ref="H8" r:id="rId1" display="https://hshop.vn/cam-bien-lua-hong-ngoai-mke-s04-ir-flame-senso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2026-10-29T22:19:04Z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